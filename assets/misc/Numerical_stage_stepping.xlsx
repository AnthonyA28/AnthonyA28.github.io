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 filterPrivacy="1" codeName="ThisWorkbook"/>
  <xr:revisionPtr revIDLastSave="0" documentId="13_ncr:1_{EC862F60-8BDB-4D3B-A4E4-C91494CB79AE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Numerical Stage Stepping" sheetId="6" r:id="rId1"/>
  </sheets>
  <definedNames>
    <definedName name="alpha">'Numerical Stage Stepping'!$F$3</definedName>
    <definedName name="X_bottom">'Numerical Stage Stepping'!$F$4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6" l="1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3" i="6"/>
  <c r="A3" i="6" l="1"/>
  <c r="B4" i="6" l="1"/>
  <c r="A5" i="6" s="1"/>
  <c r="A4" i="6"/>
  <c r="B3" i="6"/>
  <c r="B5" i="6" l="1"/>
  <c r="A6" i="6"/>
  <c r="B7" i="6" l="1"/>
  <c r="A8" i="6" s="1"/>
  <c r="A7" i="6"/>
  <c r="B6" i="6"/>
  <c r="B9" i="6" l="1"/>
  <c r="A9" i="6"/>
  <c r="B8" i="6"/>
  <c r="B10" i="6" l="1"/>
  <c r="A11" i="6" s="1"/>
  <c r="A10" i="6"/>
  <c r="B12" i="6" l="1"/>
  <c r="A13" i="6" s="1"/>
  <c r="A12" i="6"/>
  <c r="B11" i="6"/>
  <c r="B13" i="6" l="1"/>
  <c r="A14" i="6"/>
  <c r="A15" i="6" l="1"/>
  <c r="B15" i="6"/>
  <c r="A16" i="6" s="1"/>
  <c r="B14" i="6"/>
  <c r="A17" i="6" l="1"/>
  <c r="B17" i="6"/>
  <c r="B16" i="6"/>
  <c r="A18" i="6" l="1"/>
  <c r="B18" i="6"/>
  <c r="A19" i="6" s="1"/>
  <c r="B20" i="6" l="1"/>
  <c r="A21" i="6" s="1"/>
  <c r="B19" i="6"/>
  <c r="A20" i="6"/>
  <c r="B21" i="6" l="1"/>
  <c r="A22" i="6"/>
  <c r="B23" i="6" l="1"/>
  <c r="A24" i="6" s="1"/>
  <c r="A23" i="6"/>
  <c r="B22" i="6"/>
  <c r="A25" i="6" l="1"/>
  <c r="B24" i="6"/>
  <c r="B25" i="6"/>
  <c r="A26" i="6" l="1"/>
  <c r="B26" i="6"/>
  <c r="A27" i="6" s="1"/>
  <c r="B27" i="6" s="1"/>
</calcChain>
</file>

<file path=xl/sharedStrings.xml><?xml version="1.0" encoding="utf-8"?>
<sst xmlns="http://schemas.openxmlformats.org/spreadsheetml/2006/main" count="11" uniqueCount="11">
  <si>
    <t>x</t>
  </si>
  <si>
    <t>y</t>
  </si>
  <si>
    <t>alpha</t>
  </si>
  <si>
    <t>Stage</t>
  </si>
  <si>
    <t>X_bottoms</t>
  </si>
  <si>
    <t>y=x</t>
  </si>
  <si>
    <t>Stage stepping</t>
  </si>
  <si>
    <t>y=eq(x)</t>
  </si>
  <si>
    <t>eq_line</t>
  </si>
  <si>
    <t>op_line</t>
  </si>
  <si>
    <t>This is a numerical stage stepping technique at TOTAL reflux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</si>
</sst>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2" fillId="0" borderId="0" xfId="2"/>
    <xf numFmtId="0" fontId="1" fillId="0" borderId="0" xfId="1"/>
    <xf numFmtId="0" fontId="4" fillId="0" borderId="0" xfId="0" applyFont="1"/>
    <xf numFmtId="0" fontId="3" fillId="3" borderId="0" xfId="0" applyFont="1" applyFill="1"/>
    <xf numFmtId="0" fontId="0" fillId="3" borderId="0" xfId="0" applyFill="1"/>
    <xf numFmtId="0" fontId="3" fillId="0" borderId="1" xfId="0" applyFont="1" applyBorder="1"/>
    <xf numFmtId="0" fontId="3" fillId="2" borderId="2" xfId="0" applyFont="1" applyFill="1" applyBorder="1"/>
    <xf numFmtId="0" fontId="3" fillId="2" borderId="3" xfId="0" applyFont="1" applyFill="1" applyBorder="1"/>
    <xf numFmtId="0" fontId="0" fillId="2" borderId="4" xfId="0" applyFill="1" applyBorder="1"/>
    <xf numFmtId="0" fontId="0" fillId="2" borderId="3" xfId="0" applyFill="1" applyBorder="1"/>
  </cellXfs>
  <cellStyles count="3">
    <cellStyle name="Explanatory Text" xfId="2" builtinId="53"/>
    <cellStyle name="Heading 4" xfId="1" builtinId="1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Stage</a:t>
            </a:r>
            <a:r>
              <a:rPr lang="en-US" baseline="0"/>
              <a:t> stepping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Stage Stepping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'Numerical Stage Stepping'!$A$3:$A$27</c:f>
              <c:numCache>
                <c:formatCode>General</c:formatCode>
                <c:ptCount val="25"/>
                <c:pt idx="0">
                  <c:v>0.2</c:v>
                </c:pt>
                <c:pt idx="1">
                  <c:v>0.2</c:v>
                </c:pt>
                <c:pt idx="2">
                  <c:v>0.32203389830508478</c:v>
                </c:pt>
                <c:pt idx="3">
                  <c:v>0.32203389830508478</c:v>
                </c:pt>
                <c:pt idx="4">
                  <c:v>0.32203389830508478</c:v>
                </c:pt>
                <c:pt idx="5">
                  <c:v>0.47437582128777928</c:v>
                </c:pt>
                <c:pt idx="6">
                  <c:v>0.47437582128777928</c:v>
                </c:pt>
                <c:pt idx="7">
                  <c:v>0.47437582128777928</c:v>
                </c:pt>
                <c:pt idx="8">
                  <c:v>0.63164195598121375</c:v>
                </c:pt>
                <c:pt idx="9">
                  <c:v>0.63164195598121375</c:v>
                </c:pt>
                <c:pt idx="10">
                  <c:v>0.76514933566618326</c:v>
                </c:pt>
                <c:pt idx="11">
                  <c:v>0.76514933566618326</c:v>
                </c:pt>
                <c:pt idx="12">
                  <c:v>0.76514933566618326</c:v>
                </c:pt>
                <c:pt idx="13">
                  <c:v>0.86092272901593447</c:v>
                </c:pt>
                <c:pt idx="14">
                  <c:v>0.86092272901593447</c:v>
                </c:pt>
                <c:pt idx="15">
                  <c:v>0.86092272901593447</c:v>
                </c:pt>
                <c:pt idx="16">
                  <c:v>0.92163912304697015</c:v>
                </c:pt>
                <c:pt idx="17">
                  <c:v>0.92163912304697015</c:v>
                </c:pt>
                <c:pt idx="18">
                  <c:v>0.95716756559864158</c:v>
                </c:pt>
                <c:pt idx="19">
                  <c:v>0.95716756559864158</c:v>
                </c:pt>
                <c:pt idx="20">
                  <c:v>0.95716756559864158</c:v>
                </c:pt>
                <c:pt idx="21">
                  <c:v>0.97698975756255602</c:v>
                </c:pt>
                <c:pt idx="22">
                  <c:v>0.97698975756255602</c:v>
                </c:pt>
                <c:pt idx="23">
                  <c:v>0.97698975756255602</c:v>
                </c:pt>
                <c:pt idx="24">
                  <c:v>0.98775589032830391</c:v>
                </c:pt>
              </c:numCache>
            </c:numRef>
          </c:xVal>
          <c:yVal>
            <c:numRef>
              <c:f>'Numerical Stage Stepping'!$B$3:$B$27</c:f>
              <c:numCache>
                <c:formatCode>General</c:formatCode>
                <c:ptCount val="25"/>
                <c:pt idx="0">
                  <c:v>0.2</c:v>
                </c:pt>
                <c:pt idx="1">
                  <c:v>0.32203389830508478</c:v>
                </c:pt>
                <c:pt idx="2">
                  <c:v>0.32203389830508478</c:v>
                </c:pt>
                <c:pt idx="3">
                  <c:v>0.47437582128777928</c:v>
                </c:pt>
                <c:pt idx="4">
                  <c:v>0.47437582128777928</c:v>
                </c:pt>
                <c:pt idx="5">
                  <c:v>0.47437582128777928</c:v>
                </c:pt>
                <c:pt idx="6">
                  <c:v>0.63164195598121375</c:v>
                </c:pt>
                <c:pt idx="7">
                  <c:v>0.63164195598121375</c:v>
                </c:pt>
                <c:pt idx="8">
                  <c:v>0.63164195598121375</c:v>
                </c:pt>
                <c:pt idx="9">
                  <c:v>0.76514933566618326</c:v>
                </c:pt>
                <c:pt idx="10">
                  <c:v>0.76514933566618326</c:v>
                </c:pt>
                <c:pt idx="11">
                  <c:v>0.86092272901593447</c:v>
                </c:pt>
                <c:pt idx="12">
                  <c:v>0.86092272901593447</c:v>
                </c:pt>
                <c:pt idx="13">
                  <c:v>0.86092272901593447</c:v>
                </c:pt>
                <c:pt idx="14">
                  <c:v>0.92163912304697015</c:v>
                </c:pt>
                <c:pt idx="15">
                  <c:v>0.92163912304697015</c:v>
                </c:pt>
                <c:pt idx="16">
                  <c:v>0.92163912304697015</c:v>
                </c:pt>
                <c:pt idx="17">
                  <c:v>0.95716756559864158</c:v>
                </c:pt>
                <c:pt idx="18">
                  <c:v>0.95716756559864158</c:v>
                </c:pt>
                <c:pt idx="19">
                  <c:v>0.97698975756255602</c:v>
                </c:pt>
                <c:pt idx="20">
                  <c:v>0.97698975756255602</c:v>
                </c:pt>
                <c:pt idx="21">
                  <c:v>0.97698975756255602</c:v>
                </c:pt>
                <c:pt idx="22">
                  <c:v>0.98775589032830391</c:v>
                </c:pt>
                <c:pt idx="23">
                  <c:v>0.98775589032830391</c:v>
                </c:pt>
                <c:pt idx="24">
                  <c:v>0.98775589032830391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3E-4751-AE8C-BD61463304CC}"/>
            </c:ext>
          </c:extLst>
        </c:ser>
        <c:ser>
          <c:idx val="1"/>
          <c:order val="1"/>
          <c:tx>
            <c:v>operating line (y=x)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'Numerical Stage Stepping'!$H$3:$H$23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'Numerical Stage Stepping'!$H$3:$H$23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BE-4D7E-94A7-AF14DD435D38}"/>
            </c:ext>
          </c:extLst>
        </c:ser>
        <c:ser>
          <c:idx val="2"/>
          <c:order val="2"/>
          <c:tx>
            <c:v>equilibrium line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'Numerical Stage Stepping'!$H$3:$H$23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'Numerical Stage Stepping'!$I$3:$I$23</c:f>
              <c:numCache>
                <c:formatCode>General</c:formatCode>
                <c:ptCount val="21"/>
                <c:pt idx="0">
                  <c:v>0</c:v>
                </c:pt>
                <c:pt idx="1">
                  <c:v>9.0909090909090912E-2</c:v>
                </c:pt>
                <c:pt idx="2">
                  <c:v>0.17431192660550457</c:v>
                </c:pt>
                <c:pt idx="3">
                  <c:v>0.25110132158590304</c:v>
                </c:pt>
                <c:pt idx="4">
                  <c:v>0.32203389830508478</c:v>
                </c:pt>
                <c:pt idx="5">
                  <c:v>0.38775510204081626</c:v>
                </c:pt>
                <c:pt idx="6">
                  <c:v>0.44881889763779526</c:v>
                </c:pt>
                <c:pt idx="7">
                  <c:v>0.50570342205323193</c:v>
                </c:pt>
                <c:pt idx="8">
                  <c:v>0.55882352941176472</c:v>
                </c:pt>
                <c:pt idx="9">
                  <c:v>0.60854092526690384</c:v>
                </c:pt>
                <c:pt idx="10">
                  <c:v>0.65517241379310343</c:v>
                </c:pt>
                <c:pt idx="11">
                  <c:v>0.69899665551839452</c:v>
                </c:pt>
                <c:pt idx="12">
                  <c:v>0.74025974025974017</c:v>
                </c:pt>
                <c:pt idx="13">
                  <c:v>0.77917981072555198</c:v>
                </c:pt>
                <c:pt idx="14">
                  <c:v>0.81595092024539873</c:v>
                </c:pt>
                <c:pt idx="15">
                  <c:v>0.85074626865671643</c:v>
                </c:pt>
                <c:pt idx="16">
                  <c:v>0.88372093023255816</c:v>
                </c:pt>
                <c:pt idx="17">
                  <c:v>0.91501416430594906</c:v>
                </c:pt>
                <c:pt idx="18">
                  <c:v>0.94475138121546953</c:v>
                </c:pt>
                <c:pt idx="19">
                  <c:v>0.97304582210242585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8BE-4D7E-94A7-AF14DD435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006415"/>
        <c:axId val="850852975"/>
      </c:scatterChart>
      <c:valAx>
        <c:axId val="112600641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852975"/>
        <c:crosses val="autoZero"/>
        <c:crossBetween val="midCat"/>
      </c:valAx>
      <c:valAx>
        <c:axId val="85085297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006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1147280</xdr:colOff>
      <xdr:row>8</xdr:row>
      <xdr:rowOff>34246</xdr:rowOff>
    </xdr:from>
    <xdr:to>
      <xdr:col>23</xdr:col>
      <xdr:colOff>136988</xdr:colOff>
      <xdr:row>36</xdr:row>
      <xdr:rowOff>68494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68B29A-424B-4C81-9088-5A43F25574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0743D-06A7-4F0B-B551-882A284364DF}">
  <dimension ref="A1:FJ103"/>
  <sheetViews>
    <sheetView tabSelected="1" zoomScale="89" zoomScaleNormal="110" workbookViewId="0">
      <selection activeCell="E13" sqref="E13"/>
    </sheetView>
  </sheetViews>
  <sheetFormatPr defaultRowHeight="14.4" x14ac:dyDescent="0.3"/>
  <cols>
    <col min="1" max="1" width="22.5546875" customWidth="1"/>
    <col min="2" max="2" width="14.33203125" customWidth="1"/>
    <col min="3" max="3" width="4.33203125" customWidth="1"/>
    <col min="4" max="4" width="4.88671875" customWidth="1"/>
    <col min="5" max="5" width="15.21875" customWidth="1"/>
    <col min="7" max="7" width="5.77734375" customWidth="1"/>
    <col min="10" max="10" width="17.109375" customWidth="1"/>
  </cols>
  <sheetData>
    <row r="1" spans="1:166" ht="15" thickBot="1" x14ac:dyDescent="0.35">
      <c r="A1" s="8" t="s">
        <v>6</v>
      </c>
      <c r="B1" s="10"/>
      <c r="C1" s="11"/>
      <c r="H1" s="8" t="s">
        <v>9</v>
      </c>
      <c r="I1" s="9" t="s">
        <v>8</v>
      </c>
    </row>
    <row r="2" spans="1:166" x14ac:dyDescent="0.3">
      <c r="A2" s="7" t="s">
        <v>0</v>
      </c>
      <c r="B2" s="7" t="s">
        <v>1</v>
      </c>
      <c r="C2" s="7" t="s">
        <v>3</v>
      </c>
      <c r="H2" s="7" t="s">
        <v>5</v>
      </c>
      <c r="I2" s="7" t="s">
        <v>7</v>
      </c>
      <c r="J2" s="1"/>
    </row>
    <row r="3" spans="1:166" x14ac:dyDescent="0.3">
      <c r="A3">
        <f>X_bottom</f>
        <v>0.2</v>
      </c>
      <c r="B3">
        <f>A3</f>
        <v>0.2</v>
      </c>
      <c r="C3">
        <v>0</v>
      </c>
      <c r="E3" s="5" t="s">
        <v>2</v>
      </c>
      <c r="F3" s="6">
        <v>1.9</v>
      </c>
      <c r="H3">
        <v>0</v>
      </c>
      <c r="I3">
        <f>(H3*alpha)/(1+H3*(alpha-1))</f>
        <v>0</v>
      </c>
      <c r="J3" s="3"/>
      <c r="K3" s="4" t="s">
        <v>10</v>
      </c>
      <c r="N3" s="2"/>
      <c r="FJ3">
        <v>0</v>
      </c>
    </row>
    <row r="4" spans="1:166" x14ac:dyDescent="0.3">
      <c r="A4">
        <f>A3</f>
        <v>0.2</v>
      </c>
      <c r="B4">
        <f>A3*alpha/(1+A3*(alpha-1))</f>
        <v>0.32203389830508478</v>
      </c>
      <c r="C4">
        <v>1</v>
      </c>
      <c r="E4" s="5" t="s">
        <v>4</v>
      </c>
      <c r="F4" s="6">
        <v>0.2</v>
      </c>
      <c r="H4">
        <v>0.05</v>
      </c>
      <c r="I4">
        <f>(H4*alpha)/(1+H4*(alpha-1))</f>
        <v>9.0909090909090912E-2</v>
      </c>
      <c r="J4" s="3"/>
      <c r="N4" s="2"/>
      <c r="FJ4">
        <v>1.0494752623688158E-2</v>
      </c>
    </row>
    <row r="5" spans="1:166" x14ac:dyDescent="0.3">
      <c r="A5">
        <f>B4</f>
        <v>0.32203389830508478</v>
      </c>
      <c r="B5">
        <f>A5</f>
        <v>0.32203389830508478</v>
      </c>
      <c r="C5">
        <v>2</v>
      </c>
      <c r="H5">
        <v>0.1</v>
      </c>
      <c r="I5">
        <f>(H5*alpha)/(1+H5*(alpha-1))</f>
        <v>0.17431192660550457</v>
      </c>
      <c r="N5" s="2"/>
      <c r="FJ5">
        <v>2.0979020979020983E-2</v>
      </c>
    </row>
    <row r="6" spans="1:166" x14ac:dyDescent="0.3">
      <c r="A6">
        <f>A5</f>
        <v>0.32203389830508478</v>
      </c>
      <c r="B6">
        <f>A6*alpha/(1+A6*(alpha-1))</f>
        <v>0.47437582128777928</v>
      </c>
      <c r="C6">
        <v>3</v>
      </c>
      <c r="H6">
        <v>0.15</v>
      </c>
      <c r="I6">
        <f>(H6*alpha)/(1+H6*(alpha-1))</f>
        <v>0.25110132158590304</v>
      </c>
      <c r="FJ6">
        <v>3.1452820768846729E-2</v>
      </c>
    </row>
    <row r="7" spans="1:166" x14ac:dyDescent="0.3">
      <c r="A7">
        <f>A6</f>
        <v>0.32203389830508478</v>
      </c>
      <c r="B7">
        <f>A6*alpha/(1+A6*(alpha-1))</f>
        <v>0.47437582128777928</v>
      </c>
      <c r="C7">
        <v>4</v>
      </c>
      <c r="H7">
        <v>0.2</v>
      </c>
      <c r="I7">
        <f>(H7*alpha)/(1+H7*(alpha-1))</f>
        <v>0.32203389830508478</v>
      </c>
      <c r="FJ7">
        <v>4.1916167664670663E-2</v>
      </c>
    </row>
    <row r="8" spans="1:166" x14ac:dyDescent="0.3">
      <c r="A8">
        <f>B7</f>
        <v>0.47437582128777928</v>
      </c>
      <c r="B8">
        <f>A8</f>
        <v>0.47437582128777928</v>
      </c>
      <c r="C8">
        <v>5</v>
      </c>
      <c r="H8">
        <v>0.25</v>
      </c>
      <c r="I8">
        <f>(H8*alpha)/(1+H8*(alpha-1))</f>
        <v>0.38775510204081626</v>
      </c>
      <c r="FJ8">
        <v>5.2369077306733174E-2</v>
      </c>
    </row>
    <row r="9" spans="1:166" x14ac:dyDescent="0.3">
      <c r="A9">
        <f>A8</f>
        <v>0.47437582128777928</v>
      </c>
      <c r="B9">
        <f>A8*alpha/(1+A8*(alpha-1))</f>
        <v>0.63164195598121375</v>
      </c>
      <c r="C9">
        <v>6</v>
      </c>
      <c r="H9">
        <v>0.3</v>
      </c>
      <c r="I9">
        <f>(H9*alpha)/(1+H9*(alpha-1))</f>
        <v>0.44881889763779526</v>
      </c>
      <c r="FJ9">
        <v>6.2811565304087727E-2</v>
      </c>
    </row>
    <row r="10" spans="1:166" x14ac:dyDescent="0.3">
      <c r="A10">
        <f t="shared" ref="A10" si="0">A9</f>
        <v>0.47437582128777928</v>
      </c>
      <c r="B10">
        <f>A9*alpha/(1+A9*(alpha-1))</f>
        <v>0.63164195598121375</v>
      </c>
      <c r="C10">
        <v>7</v>
      </c>
      <c r="H10">
        <v>0.35</v>
      </c>
      <c r="I10">
        <f>(H10*alpha)/(1+H10*(alpha-1))</f>
        <v>0.50570342205323193</v>
      </c>
      <c r="FJ10">
        <v>7.3243647234678633E-2</v>
      </c>
    </row>
    <row r="11" spans="1:166" x14ac:dyDescent="0.3">
      <c r="A11">
        <f t="shared" ref="A11:A27" si="1">B10</f>
        <v>0.63164195598121375</v>
      </c>
      <c r="B11">
        <f t="shared" ref="B11" si="2">A11</f>
        <v>0.63164195598121375</v>
      </c>
      <c r="C11">
        <v>8</v>
      </c>
      <c r="H11">
        <v>0.4</v>
      </c>
      <c r="I11">
        <f>(H11*alpha)/(1+H11*(alpha-1))</f>
        <v>0.55882352941176472</v>
      </c>
      <c r="FJ11">
        <v>8.3665338645418336E-2</v>
      </c>
    </row>
    <row r="12" spans="1:166" x14ac:dyDescent="0.3">
      <c r="A12">
        <f t="shared" ref="A12" si="3">A11</f>
        <v>0.63164195598121375</v>
      </c>
      <c r="B12">
        <f>A11*alpha/(1+A11*(alpha-1))</f>
        <v>0.76514933566618326</v>
      </c>
      <c r="C12">
        <v>9</v>
      </c>
      <c r="H12">
        <v>0.45</v>
      </c>
      <c r="I12">
        <f>(H12*alpha)/(1+H12*(alpha-1))</f>
        <v>0.60854092526690384</v>
      </c>
      <c r="FJ12">
        <v>9.4076655052264813E-2</v>
      </c>
    </row>
    <row r="13" spans="1:166" x14ac:dyDescent="0.3">
      <c r="A13">
        <f t="shared" ref="A13" si="4">B12</f>
        <v>0.76514933566618326</v>
      </c>
      <c r="B13">
        <f t="shared" ref="B13" si="5">A13</f>
        <v>0.76514933566618326</v>
      </c>
      <c r="C13">
        <v>10</v>
      </c>
      <c r="H13">
        <v>0.5</v>
      </c>
      <c r="I13">
        <f>(H13*alpha)/(1+H13*(alpha-1))</f>
        <v>0.65517241379310343</v>
      </c>
      <c r="FJ13">
        <v>0.10447761194029853</v>
      </c>
    </row>
    <row r="14" spans="1:166" x14ac:dyDescent="0.3">
      <c r="A14">
        <f t="shared" ref="A14:A15" si="6">A13</f>
        <v>0.76514933566618326</v>
      </c>
      <c r="B14">
        <f>A14*alpha/(1+A14*(alpha-1))</f>
        <v>0.86092272901593447</v>
      </c>
      <c r="C14">
        <v>11</v>
      </c>
      <c r="H14">
        <v>0.55000000000000004</v>
      </c>
      <c r="I14">
        <f>(H14*alpha)/(1+H14*(alpha-1))</f>
        <v>0.69899665551839452</v>
      </c>
      <c r="FJ14">
        <v>0.1148682247637991</v>
      </c>
    </row>
    <row r="15" spans="1:166" x14ac:dyDescent="0.3">
      <c r="A15">
        <f t="shared" si="6"/>
        <v>0.76514933566618326</v>
      </c>
      <c r="B15">
        <f>A14*alpha/(1+A14*(alpha-1))</f>
        <v>0.86092272901593447</v>
      </c>
      <c r="C15">
        <v>12</v>
      </c>
      <c r="H15">
        <v>0.6</v>
      </c>
      <c r="I15">
        <f>(H15*alpha)/(1+H15*(alpha-1))</f>
        <v>0.74025974025974017</v>
      </c>
      <c r="FJ15">
        <v>0.12524850894632206</v>
      </c>
    </row>
    <row r="16" spans="1:166" x14ac:dyDescent="0.3">
      <c r="A16">
        <f t="shared" ref="A16" si="7">B15</f>
        <v>0.86092272901593447</v>
      </c>
      <c r="B16">
        <f t="shared" ref="B16" si="8">A16</f>
        <v>0.86092272901593447</v>
      </c>
      <c r="C16">
        <v>13</v>
      </c>
      <c r="H16">
        <v>0.65</v>
      </c>
      <c r="I16">
        <f>(H16*alpha)/(1+H16*(alpha-1))</f>
        <v>0.77917981072555198</v>
      </c>
      <c r="FJ16">
        <v>0.13561847988077497</v>
      </c>
    </row>
    <row r="17" spans="1:166" x14ac:dyDescent="0.3">
      <c r="A17">
        <f t="shared" ref="A17:A18" si="9">A16</f>
        <v>0.86092272901593447</v>
      </c>
      <c r="B17">
        <f>A16*alpha/(1+A16*(alpha-1))</f>
        <v>0.92163912304697015</v>
      </c>
      <c r="C17">
        <v>14</v>
      </c>
      <c r="H17">
        <v>0.7</v>
      </c>
      <c r="I17">
        <f>(H17*alpha)/(1+H17*(alpha-1))</f>
        <v>0.81595092024539873</v>
      </c>
      <c r="FJ17">
        <v>0.14597815292949354</v>
      </c>
    </row>
    <row r="18" spans="1:166" x14ac:dyDescent="0.3">
      <c r="A18">
        <f t="shared" si="9"/>
        <v>0.86092272901593447</v>
      </c>
      <c r="B18">
        <f>A17*alpha/(1+A17*(alpha-1))</f>
        <v>0.92163912304697015</v>
      </c>
      <c r="C18">
        <v>15</v>
      </c>
      <c r="H18">
        <v>0.75</v>
      </c>
      <c r="I18">
        <f>(H18*alpha)/(1+H18*(alpha-1))</f>
        <v>0.85074626865671643</v>
      </c>
      <c r="FJ18">
        <v>0.15632754342431762</v>
      </c>
    </row>
    <row r="19" spans="1:166" x14ac:dyDescent="0.3">
      <c r="A19">
        <f t="shared" si="1"/>
        <v>0.92163912304697015</v>
      </c>
      <c r="B19">
        <f t="shared" ref="B19:B27" si="10">A19</f>
        <v>0.92163912304697015</v>
      </c>
      <c r="C19">
        <v>16</v>
      </c>
      <c r="H19">
        <v>0.8</v>
      </c>
      <c r="I19">
        <f>(H19*alpha)/(1+H19*(alpha-1))</f>
        <v>0.88372093023255816</v>
      </c>
      <c r="FJ19">
        <v>0.16666666666666669</v>
      </c>
    </row>
    <row r="20" spans="1:166" x14ac:dyDescent="0.3">
      <c r="A20">
        <f t="shared" ref="A20" si="11">A19</f>
        <v>0.92163912304697015</v>
      </c>
      <c r="B20">
        <f>A19*alpha/(1+A19*(alpha-1))</f>
        <v>0.95716756559864158</v>
      </c>
      <c r="C20">
        <v>17</v>
      </c>
      <c r="H20">
        <v>0.85</v>
      </c>
      <c r="I20">
        <f>(H20*alpha)/(1+H20*(alpha-1))</f>
        <v>0.91501416430594906</v>
      </c>
      <c r="FJ20">
        <v>0.1769955379276153</v>
      </c>
    </row>
    <row r="21" spans="1:166" x14ac:dyDescent="0.3">
      <c r="A21">
        <f t="shared" ref="A21" si="12">B20</f>
        <v>0.95716756559864158</v>
      </c>
      <c r="B21">
        <f t="shared" ref="B21" si="13">A21</f>
        <v>0.95716756559864158</v>
      </c>
      <c r="C21">
        <v>18</v>
      </c>
      <c r="H21">
        <v>0.9</v>
      </c>
      <c r="I21">
        <f>(H21*alpha)/(1+H21*(alpha-1))</f>
        <v>0.94475138121546953</v>
      </c>
      <c r="FJ21">
        <v>0.1873141724479683</v>
      </c>
    </row>
    <row r="22" spans="1:166" x14ac:dyDescent="0.3">
      <c r="A22">
        <f t="shared" ref="A22:A23" si="14">A21</f>
        <v>0.95716756559864158</v>
      </c>
      <c r="B22">
        <f>A22*alpha/(1+A22*(alpha-1))</f>
        <v>0.97698975756255602</v>
      </c>
      <c r="C22">
        <v>19</v>
      </c>
      <c r="H22">
        <v>0.95</v>
      </c>
      <c r="I22">
        <f>(H22*alpha)/(1+H22*(alpha-1))</f>
        <v>0.97304582210242585</v>
      </c>
      <c r="FJ22">
        <v>0.1976225854383358</v>
      </c>
    </row>
    <row r="23" spans="1:166" x14ac:dyDescent="0.3">
      <c r="A23">
        <f t="shared" si="14"/>
        <v>0.95716756559864158</v>
      </c>
      <c r="B23">
        <f>A22*alpha/(1+A22*(alpha-1))</f>
        <v>0.97698975756255602</v>
      </c>
      <c r="C23">
        <v>20</v>
      </c>
      <c r="H23">
        <v>1</v>
      </c>
      <c r="I23">
        <f>(H23*alpha)/(1+H23*(alpha-1))</f>
        <v>1</v>
      </c>
      <c r="FJ23">
        <v>0.20792079207920794</v>
      </c>
    </row>
    <row r="24" spans="1:166" x14ac:dyDescent="0.3">
      <c r="A24">
        <f t="shared" ref="A24" si="15">B23</f>
        <v>0.97698975756255602</v>
      </c>
      <c r="B24">
        <f t="shared" ref="B24" si="16">A24</f>
        <v>0.97698975756255602</v>
      </c>
      <c r="C24">
        <v>21</v>
      </c>
      <c r="FJ24">
        <v>0.2182088075210292</v>
      </c>
    </row>
    <row r="25" spans="1:166" x14ac:dyDescent="0.3">
      <c r="A25">
        <f t="shared" ref="A25:A26" si="17">A24</f>
        <v>0.97698975756255602</v>
      </c>
      <c r="B25">
        <f>A24*alpha/(1+A24*(alpha-1))</f>
        <v>0.98775589032830391</v>
      </c>
      <c r="C25">
        <v>22</v>
      </c>
      <c r="FJ25">
        <v>0.22848664688427298</v>
      </c>
    </row>
    <row r="26" spans="1:166" x14ac:dyDescent="0.3">
      <c r="A26">
        <f t="shared" si="17"/>
        <v>0.97698975756255602</v>
      </c>
      <c r="B26">
        <f>A25*alpha/(1+A25*(alpha-1))</f>
        <v>0.98775589032830391</v>
      </c>
      <c r="C26">
        <v>23</v>
      </c>
      <c r="FJ26">
        <v>0.23875432525951557</v>
      </c>
    </row>
    <row r="27" spans="1:166" x14ac:dyDescent="0.3">
      <c r="A27">
        <f t="shared" si="1"/>
        <v>0.98775589032830391</v>
      </c>
      <c r="B27">
        <f t="shared" si="10"/>
        <v>0.98775589032830391</v>
      </c>
      <c r="C27">
        <v>24</v>
      </c>
      <c r="FJ27">
        <v>0.24901185770750989</v>
      </c>
    </row>
    <row r="28" spans="1:166" x14ac:dyDescent="0.3">
      <c r="FJ28">
        <v>0.2592592592592593</v>
      </c>
    </row>
    <row r="29" spans="1:166" x14ac:dyDescent="0.3">
      <c r="FJ29">
        <v>0.26949654491609087</v>
      </c>
    </row>
    <row r="30" spans="1:166" x14ac:dyDescent="0.3">
      <c r="FJ30">
        <v>0.27972372964972869</v>
      </c>
    </row>
    <row r="31" spans="1:166" x14ac:dyDescent="0.3">
      <c r="FJ31">
        <v>0.2899408284023669</v>
      </c>
    </row>
    <row r="32" spans="1:166" x14ac:dyDescent="0.3">
      <c r="FJ32">
        <v>0.30014785608674227</v>
      </c>
    </row>
    <row r="33" spans="166:166" x14ac:dyDescent="0.3">
      <c r="FJ33">
        <v>0.31034482758620685</v>
      </c>
    </row>
    <row r="34" spans="166:166" x14ac:dyDescent="0.3">
      <c r="FJ34">
        <v>0.32053175775480058</v>
      </c>
    </row>
    <row r="35" spans="166:166" x14ac:dyDescent="0.3">
      <c r="FJ35">
        <v>0.33070866141732286</v>
      </c>
    </row>
    <row r="36" spans="166:166" x14ac:dyDescent="0.3">
      <c r="FJ36">
        <v>0.34087555336940484</v>
      </c>
    </row>
    <row r="37" spans="166:166" x14ac:dyDescent="0.3">
      <c r="FJ37">
        <v>0.35103244837758119</v>
      </c>
    </row>
    <row r="38" spans="166:166" x14ac:dyDescent="0.3">
      <c r="FJ38">
        <v>0.36117936117936117</v>
      </c>
    </row>
    <row r="39" spans="166:166" x14ac:dyDescent="0.3">
      <c r="FJ39">
        <v>0.37131630648330061</v>
      </c>
    </row>
    <row r="40" spans="166:166" x14ac:dyDescent="0.3">
      <c r="FJ40">
        <v>0.3814432989690722</v>
      </c>
    </row>
    <row r="41" spans="166:166" x14ac:dyDescent="0.3">
      <c r="FJ41">
        <v>0.3915603532875368</v>
      </c>
    </row>
    <row r="42" spans="166:166" x14ac:dyDescent="0.3">
      <c r="FJ42">
        <v>0.40166748406081415</v>
      </c>
    </row>
    <row r="43" spans="166:166" x14ac:dyDescent="0.3">
      <c r="FJ43">
        <v>0.41176470588235298</v>
      </c>
    </row>
    <row r="44" spans="166:166" x14ac:dyDescent="0.3">
      <c r="FJ44">
        <v>0.4218520333170015</v>
      </c>
    </row>
    <row r="45" spans="166:166" x14ac:dyDescent="0.3">
      <c r="FJ45">
        <v>0.43192948090107741</v>
      </c>
    </row>
    <row r="46" spans="166:166" x14ac:dyDescent="0.3">
      <c r="FJ46">
        <v>0.44199706314243759</v>
      </c>
    </row>
    <row r="47" spans="166:166" x14ac:dyDescent="0.3">
      <c r="FJ47">
        <v>0.45205479452054798</v>
      </c>
    </row>
    <row r="48" spans="166:166" x14ac:dyDescent="0.3">
      <c r="FJ48">
        <v>0.46210268948655259</v>
      </c>
    </row>
    <row r="49" spans="166:166" x14ac:dyDescent="0.3">
      <c r="FJ49">
        <v>0.47214076246334308</v>
      </c>
    </row>
    <row r="50" spans="166:166" x14ac:dyDescent="0.3">
      <c r="FJ50">
        <v>0.48216902784562771</v>
      </c>
    </row>
    <row r="51" spans="166:166" x14ac:dyDescent="0.3">
      <c r="FJ51">
        <v>0.4921875</v>
      </c>
    </row>
    <row r="52" spans="166:166" x14ac:dyDescent="0.3">
      <c r="FJ52">
        <v>0.50219619326500731</v>
      </c>
    </row>
    <row r="53" spans="166:166" x14ac:dyDescent="0.3">
      <c r="FJ53">
        <v>0.51219512195121952</v>
      </c>
    </row>
    <row r="54" spans="166:166" x14ac:dyDescent="0.3">
      <c r="FJ54">
        <v>0.52218430034129693</v>
      </c>
    </row>
    <row r="55" spans="166:166" x14ac:dyDescent="0.3">
      <c r="FJ55">
        <v>0.53216374269005851</v>
      </c>
    </row>
    <row r="56" spans="166:166" x14ac:dyDescent="0.3">
      <c r="FJ56">
        <v>0.54213346322454958</v>
      </c>
    </row>
    <row r="57" spans="166:166" x14ac:dyDescent="0.3">
      <c r="FJ57">
        <v>0.55209347614410909</v>
      </c>
    </row>
    <row r="58" spans="166:166" x14ac:dyDescent="0.3">
      <c r="FJ58">
        <v>0.56204379562043805</v>
      </c>
    </row>
    <row r="59" spans="166:166" x14ac:dyDescent="0.3">
      <c r="FJ59">
        <v>0.57198443579766545</v>
      </c>
    </row>
    <row r="60" spans="166:166" x14ac:dyDescent="0.3">
      <c r="FJ60">
        <v>0.58191541079241604</v>
      </c>
    </row>
    <row r="61" spans="166:166" x14ac:dyDescent="0.3">
      <c r="FJ61">
        <v>0.59183673469387754</v>
      </c>
    </row>
    <row r="62" spans="166:166" x14ac:dyDescent="0.3">
      <c r="FJ62">
        <v>0.60174842156386588</v>
      </c>
    </row>
    <row r="63" spans="166:166" x14ac:dyDescent="0.3">
      <c r="FJ63">
        <v>0.61165048543689315</v>
      </c>
    </row>
    <row r="64" spans="166:166" x14ac:dyDescent="0.3">
      <c r="FJ64">
        <v>0.62154294032023283</v>
      </c>
    </row>
    <row r="65" spans="166:166" x14ac:dyDescent="0.3">
      <c r="FJ65">
        <v>0.63142580019398631</v>
      </c>
    </row>
    <row r="66" spans="166:166" x14ac:dyDescent="0.3">
      <c r="FJ66">
        <v>0.6412990790111488</v>
      </c>
    </row>
    <row r="67" spans="166:166" x14ac:dyDescent="0.3">
      <c r="FJ67">
        <v>0.65116279069767447</v>
      </c>
    </row>
    <row r="68" spans="166:166" x14ac:dyDescent="0.3">
      <c r="FJ68">
        <v>0.6610169491525425</v>
      </c>
    </row>
    <row r="69" spans="166:166" x14ac:dyDescent="0.3">
      <c r="FJ69">
        <v>0.67086156824782195</v>
      </c>
    </row>
    <row r="70" spans="166:166" x14ac:dyDescent="0.3">
      <c r="FJ70">
        <v>0.68069666182873734</v>
      </c>
    </row>
    <row r="71" spans="166:166" x14ac:dyDescent="0.3">
      <c r="FJ71">
        <v>0.69052224371373316</v>
      </c>
    </row>
    <row r="72" spans="166:166" x14ac:dyDescent="0.3">
      <c r="FJ72">
        <v>0.70033832769453841</v>
      </c>
    </row>
    <row r="73" spans="166:166" x14ac:dyDescent="0.3">
      <c r="FJ73">
        <v>0.71014492753623182</v>
      </c>
    </row>
    <row r="74" spans="166:166" x14ac:dyDescent="0.3">
      <c r="FJ74">
        <v>0.71994205697730551</v>
      </c>
    </row>
    <row r="75" spans="166:166" x14ac:dyDescent="0.3">
      <c r="FJ75">
        <v>0.72972972972972971</v>
      </c>
    </row>
    <row r="76" spans="166:166" x14ac:dyDescent="0.3">
      <c r="FJ76">
        <v>0.73950795947901593</v>
      </c>
    </row>
    <row r="77" spans="166:166" x14ac:dyDescent="0.3">
      <c r="FJ77">
        <v>0.74927675988428166</v>
      </c>
    </row>
    <row r="78" spans="166:166" x14ac:dyDescent="0.3">
      <c r="FJ78">
        <v>0.75903614457831325</v>
      </c>
    </row>
    <row r="79" spans="166:166" x14ac:dyDescent="0.3">
      <c r="FJ79">
        <v>0.76878612716763006</v>
      </c>
    </row>
    <row r="80" spans="166:166" x14ac:dyDescent="0.3">
      <c r="FJ80">
        <v>0.77852672123254707</v>
      </c>
    </row>
    <row r="81" spans="166:166" x14ac:dyDescent="0.3">
      <c r="FJ81">
        <v>0.78825794032723773</v>
      </c>
    </row>
    <row r="82" spans="166:166" x14ac:dyDescent="0.3">
      <c r="FJ82">
        <v>0.79797979797979801</v>
      </c>
    </row>
    <row r="83" spans="166:166" x14ac:dyDescent="0.3">
      <c r="FJ83">
        <v>0.80769230769230771</v>
      </c>
    </row>
    <row r="84" spans="166:166" x14ac:dyDescent="0.3">
      <c r="FJ84">
        <v>0.81739548294089392</v>
      </c>
    </row>
    <row r="85" spans="166:166" x14ac:dyDescent="0.3">
      <c r="FJ85">
        <v>0.82708933717579258</v>
      </c>
    </row>
    <row r="86" spans="166:166" x14ac:dyDescent="0.3">
      <c r="FJ86">
        <v>0.83677388382141127</v>
      </c>
    </row>
    <row r="87" spans="166:166" x14ac:dyDescent="0.3">
      <c r="FJ87">
        <v>0.84644913627639151</v>
      </c>
    </row>
    <row r="88" spans="166:166" x14ac:dyDescent="0.3">
      <c r="FJ88">
        <v>0.85611510791366907</v>
      </c>
    </row>
    <row r="89" spans="166:166" x14ac:dyDescent="0.3">
      <c r="FJ89">
        <v>0.86577181208053677</v>
      </c>
    </row>
    <row r="90" spans="166:166" x14ac:dyDescent="0.3">
      <c r="FJ90">
        <v>0.87541926209870613</v>
      </c>
    </row>
    <row r="91" spans="166:166" x14ac:dyDescent="0.3">
      <c r="FJ91">
        <v>0.88505747126436785</v>
      </c>
    </row>
    <row r="92" spans="166:166" x14ac:dyDescent="0.3">
      <c r="FJ92">
        <v>0.89468645284825288</v>
      </c>
    </row>
    <row r="93" spans="166:166" x14ac:dyDescent="0.3">
      <c r="FJ93">
        <v>0.90430622009569395</v>
      </c>
    </row>
    <row r="94" spans="166:166" x14ac:dyDescent="0.3">
      <c r="FJ94">
        <v>0.91391678622668582</v>
      </c>
    </row>
    <row r="95" spans="166:166" x14ac:dyDescent="0.3">
      <c r="FJ95">
        <v>0.92351816443594648</v>
      </c>
    </row>
    <row r="96" spans="166:166" x14ac:dyDescent="0.3">
      <c r="FJ96">
        <v>0.93311036789297674</v>
      </c>
    </row>
    <row r="97" spans="166:166" x14ac:dyDescent="0.3">
      <c r="FJ97">
        <v>0.94269340974212024</v>
      </c>
    </row>
    <row r="98" spans="166:166" x14ac:dyDescent="0.3">
      <c r="FJ98">
        <v>0.9522673031026252</v>
      </c>
    </row>
    <row r="99" spans="166:166" x14ac:dyDescent="0.3">
      <c r="FJ99">
        <v>0.96183206106870223</v>
      </c>
    </row>
    <row r="100" spans="166:166" x14ac:dyDescent="0.3">
      <c r="FJ100">
        <v>0.97138769670958514</v>
      </c>
    </row>
    <row r="101" spans="166:166" x14ac:dyDescent="0.3">
      <c r="FJ101">
        <v>0.98093422306959011</v>
      </c>
    </row>
    <row r="102" spans="166:166" x14ac:dyDescent="0.3">
      <c r="FJ102">
        <v>0.99047165316817531</v>
      </c>
    </row>
    <row r="103" spans="166:166" x14ac:dyDescent="0.3">
      <c r="FJ103">
        <v>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Numerical Stage Stepping</vt:lpstr>
      <vt:lpstr>alpha</vt:lpstr>
      <vt:lpstr>X_bottom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2020-02-07T21:00:13Z</dcterms:modified>
</cp:coreProperties>
</file>